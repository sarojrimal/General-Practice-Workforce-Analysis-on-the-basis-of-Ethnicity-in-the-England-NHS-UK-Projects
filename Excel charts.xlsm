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a67a05c3ddb1225/Documents/Projects NHS/NHS Portfolio/"/>
    </mc:Choice>
  </mc:AlternateContent>
  <xr:revisionPtr revIDLastSave="123" documentId="8_{ADAE542C-E8F3-4E1A-8801-468AAD42608B}" xr6:coauthVersionLast="47" xr6:coauthVersionMax="47" xr10:uidLastSave="{7B84BD8B-7EDA-4A21-93A7-ED5ED9E511D9}"/>
  <bookViews>
    <workbookView xWindow="-108" yWindow="-108" windowWidth="23256" windowHeight="12720" xr2:uid="{00000000-000D-0000-FFFF-FFFF00000000}"/>
  </bookViews>
  <sheets>
    <sheet name="Midlands" sheetId="2" r:id="rId1"/>
    <sheet name="North East and Yorkshire" sheetId="3" r:id="rId2"/>
    <sheet name="London" sheetId="4" r:id="rId3"/>
    <sheet name="South East" sheetId="5" r:id="rId4"/>
    <sheet name="North West" sheetId="6" r:id="rId5"/>
    <sheet name="South West" sheetId="7" r:id="rId6"/>
    <sheet name="Unkown" sheetId="8" r:id="rId7"/>
    <sheet name="East of England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2" i="9"/>
  <c r="C3" i="8"/>
  <c r="C4" i="8"/>
  <c r="C5" i="8"/>
  <c r="C6" i="8"/>
  <c r="C7" i="8"/>
  <c r="C2" i="8"/>
  <c r="C3" i="7"/>
  <c r="C4" i="7"/>
  <c r="C5" i="7"/>
  <c r="C6" i="7"/>
  <c r="C7" i="7"/>
  <c r="C2" i="7"/>
  <c r="C3" i="6"/>
  <c r="C4" i="6"/>
  <c r="C5" i="6"/>
  <c r="C6" i="6"/>
  <c r="C7" i="6"/>
  <c r="C2" i="6"/>
  <c r="C3" i="5"/>
  <c r="C4" i="5"/>
  <c r="C5" i="5"/>
  <c r="C6" i="5"/>
  <c r="C7" i="5"/>
  <c r="C2" i="5"/>
  <c r="C3" i="4"/>
  <c r="C4" i="4"/>
  <c r="C5" i="4"/>
  <c r="C6" i="4"/>
  <c r="C7" i="4"/>
  <c r="C2" i="4"/>
  <c r="C3" i="3"/>
  <c r="C4" i="3"/>
  <c r="C5" i="3"/>
  <c r="C6" i="3"/>
  <c r="C7" i="3"/>
  <c r="C2" i="3"/>
  <c r="C6" i="2"/>
  <c r="C4" i="2"/>
  <c r="C2" i="2"/>
  <c r="C3" i="2"/>
  <c r="C5" i="2"/>
  <c r="C7" i="2"/>
</calcChain>
</file>

<file path=xl/sharedStrings.xml><?xml version="1.0" encoding="utf-8"?>
<sst xmlns="http://schemas.openxmlformats.org/spreadsheetml/2006/main" count="72" uniqueCount="10">
  <si>
    <t>Ethnic Group</t>
  </si>
  <si>
    <t>Total Number of Staffs</t>
  </si>
  <si>
    <t>In Percentage</t>
  </si>
  <si>
    <t>White</t>
  </si>
  <si>
    <t>Asian</t>
  </si>
  <si>
    <t>Black</t>
  </si>
  <si>
    <t>Mixed</t>
  </si>
  <si>
    <t>Other Ethnic Group</t>
  </si>
  <si>
    <t>Non recorded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</si>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</sst>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Ethnic</a:t>
            </a:r>
            <a:r>
              <a:rPr lang="en-US" baseline="0"/>
              <a:t> Group working in Midlands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Midlands!$B$1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Midlands!$A$2:$A$7</c:f>
              <c:strCache>
                <c:ptCount val="6"/>
                <c:pt idx="0">
                  <c:v>Mixed</c:v>
                </c:pt>
                <c:pt idx="1">
                  <c:v>Other Ethnic Group</c:v>
                </c:pt>
                <c:pt idx="2">
                  <c:v>Black</c:v>
                </c:pt>
                <c:pt idx="3">
                  <c:v>Non recorded</c:v>
                </c:pt>
                <c:pt idx="4">
                  <c:v>Asian</c:v>
                </c:pt>
                <c:pt idx="5">
                  <c:v>White</c:v>
                </c:pt>
              </c:strCache>
            </c:strRef>
          </c:cat>
          <c:val>
            <c:numRef>
              <c:f>Midlands!$B$2:$B$7</c:f>
              <c:numCache>
                <c:formatCode>General</c:formatCode>
                <c:ptCount val="6"/>
                <c:pt idx="0">
                  <c:v>225</c:v>
                </c:pt>
                <c:pt idx="1">
                  <c:v>325</c:v>
                </c:pt>
                <c:pt idx="2">
                  <c:v>820</c:v>
                </c:pt>
                <c:pt idx="3">
                  <c:v>1110</c:v>
                </c:pt>
                <c:pt idx="4">
                  <c:v>2960</c:v>
                </c:pt>
                <c:pt idx="5">
                  <c:v>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7-4F45-9532-4AF5B052A8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15708368"/>
        <c:axId val="1412024160"/>
      </c:barChart>
      <c:catAx>
        <c:axId val="1415708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024160"/>
        <c:crosses val="autoZero"/>
        <c:auto val="1"/>
        <c:lblAlgn val="ctr"/>
        <c:lblOffset val="100"/>
        <c:noMultiLvlLbl val="0"/>
      </c:catAx>
      <c:valAx>
        <c:axId val="141202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70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Ethnic Group working in North East &amp; Yorkshire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'North East and Yorkshire'!$B$1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'North East and Yorkshire'!$A$2:$A$7</c:f>
              <c:strCache>
                <c:ptCount val="6"/>
                <c:pt idx="0">
                  <c:v>Mixed</c:v>
                </c:pt>
                <c:pt idx="1">
                  <c:v>Other Ethnic Group</c:v>
                </c:pt>
                <c:pt idx="2">
                  <c:v>Black</c:v>
                </c:pt>
                <c:pt idx="3">
                  <c:v>Non recorded</c:v>
                </c:pt>
                <c:pt idx="4">
                  <c:v>Asian</c:v>
                </c:pt>
                <c:pt idx="5">
                  <c:v>White</c:v>
                </c:pt>
              </c:strCache>
            </c:strRef>
          </c:cat>
          <c:val>
            <c:numRef>
              <c:f>'North East and Yorkshire'!$B$2:$B$7</c:f>
              <c:numCache>
                <c:formatCode>General</c:formatCode>
                <c:ptCount val="6"/>
                <c:pt idx="0">
                  <c:v>150</c:v>
                </c:pt>
                <c:pt idx="1">
                  <c:v>215</c:v>
                </c:pt>
                <c:pt idx="2">
                  <c:v>520</c:v>
                </c:pt>
                <c:pt idx="3">
                  <c:v>870</c:v>
                </c:pt>
                <c:pt idx="4">
                  <c:v>1450</c:v>
                </c:pt>
                <c:pt idx="5">
                  <c:v>3990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11-46A9-A99E-83B886C3C3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923915584"/>
        <c:axId val="664683616"/>
      </c:barChart>
      <c:catAx>
        <c:axId val="923915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683616"/>
        <c:crosses val="autoZero"/>
        <c:auto val="1"/>
        <c:lblAlgn val="ctr"/>
        <c:lblOffset val="100"/>
        <c:noMultiLvlLbl val="0"/>
      </c:catAx>
      <c:valAx>
        <c:axId val="66468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1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Ethnic Group working in London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London!$B$1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London!$A$2:$A$7</c:f>
              <c:strCache>
                <c:ptCount val="6"/>
                <c:pt idx="0">
                  <c:v>Mixed</c:v>
                </c:pt>
                <c:pt idx="1">
                  <c:v>Black</c:v>
                </c:pt>
                <c:pt idx="2">
                  <c:v>Other Ethnic Group</c:v>
                </c:pt>
                <c:pt idx="3">
                  <c:v>Non recorded</c:v>
                </c:pt>
                <c:pt idx="4">
                  <c:v>White</c:v>
                </c:pt>
                <c:pt idx="5">
                  <c:v>Asian</c:v>
                </c:pt>
              </c:strCache>
            </c:strRef>
          </c:cat>
          <c:val>
            <c:numRef>
              <c:f>London!$B$2:$B$7</c:f>
              <c:numCache>
                <c:formatCode>General</c:formatCode>
                <c:ptCount val="6"/>
                <c:pt idx="0">
                  <c:v>220</c:v>
                </c:pt>
                <c:pt idx="1">
                  <c:v>400</c:v>
                </c:pt>
                <c:pt idx="2">
                  <c:v>415</c:v>
                </c:pt>
                <c:pt idx="3">
                  <c:v>1100</c:v>
                </c:pt>
                <c:pt idx="4">
                  <c:v>2310</c:v>
                </c:pt>
                <c:pt idx="5">
                  <c:v>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B-4031-BE30-BDFCC36319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662117248"/>
        <c:axId val="1413154000"/>
      </c:barChart>
      <c:catAx>
        <c:axId val="662117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154000"/>
        <c:crosses val="autoZero"/>
        <c:auto val="1"/>
        <c:lblAlgn val="ctr"/>
        <c:lblOffset val="100"/>
        <c:noMultiLvlLbl val="0"/>
      </c:catAx>
      <c:valAx>
        <c:axId val="141315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1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Ethnic Group working in South East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'South East'!$B$1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'South East'!$A$2:$A$7</c:f>
              <c:strCache>
                <c:ptCount val="6"/>
                <c:pt idx="0">
                  <c:v>Mixed</c:v>
                </c:pt>
                <c:pt idx="1">
                  <c:v>Other Ethnic Group</c:v>
                </c:pt>
                <c:pt idx="2">
                  <c:v>Black</c:v>
                </c:pt>
                <c:pt idx="3">
                  <c:v>Non recorded</c:v>
                </c:pt>
                <c:pt idx="4">
                  <c:v>Asian</c:v>
                </c:pt>
                <c:pt idx="5">
                  <c:v>White</c:v>
                </c:pt>
              </c:strCache>
            </c:strRef>
          </c:cat>
          <c:val>
            <c:numRef>
              <c:f>'South East'!$B$2:$B$7</c:f>
              <c:numCache>
                <c:formatCode>General</c:formatCode>
                <c:ptCount val="6"/>
                <c:pt idx="0">
                  <c:v>145</c:v>
                </c:pt>
                <c:pt idx="1">
                  <c:v>205</c:v>
                </c:pt>
                <c:pt idx="2">
                  <c:v>270</c:v>
                </c:pt>
                <c:pt idx="3">
                  <c:v>1180</c:v>
                </c:pt>
                <c:pt idx="4">
                  <c:v>1345</c:v>
                </c:pt>
                <c:pt idx="5">
                  <c:v>3730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2-4845-8F0F-332747CD5B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32459120"/>
        <c:axId val="1484233904"/>
      </c:barChart>
      <c:catAx>
        <c:axId val="1432459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233904"/>
        <c:crosses val="autoZero"/>
        <c:auto val="1"/>
        <c:lblAlgn val="ctr"/>
        <c:lblOffset val="100"/>
        <c:noMultiLvlLbl val="0"/>
      </c:catAx>
      <c:valAx>
        <c:axId val="148423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45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Ethnic Group working in North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'North West'!$B$1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'North West'!$A$2:$A$7</c:f>
              <c:strCache>
                <c:ptCount val="6"/>
                <c:pt idx="0">
                  <c:v>Mixed</c:v>
                </c:pt>
                <c:pt idx="1">
                  <c:v>Other Ethnic Group</c:v>
                </c:pt>
                <c:pt idx="2">
                  <c:v>Black</c:v>
                </c:pt>
                <c:pt idx="3">
                  <c:v>Non recorded</c:v>
                </c:pt>
                <c:pt idx="4">
                  <c:v>Asian</c:v>
                </c:pt>
                <c:pt idx="5">
                  <c:v>White</c:v>
                </c:pt>
              </c:strCache>
            </c:strRef>
          </c:cat>
          <c:val>
            <c:numRef>
              <c:f>'North West'!$B$2:$B$7</c:f>
              <c:numCache>
                <c:formatCode>General</c:formatCode>
                <c:ptCount val="6"/>
                <c:pt idx="0">
                  <c:v>160</c:v>
                </c:pt>
                <c:pt idx="1">
                  <c:v>280</c:v>
                </c:pt>
                <c:pt idx="2">
                  <c:v>335</c:v>
                </c:pt>
                <c:pt idx="3">
                  <c:v>830</c:v>
                </c:pt>
                <c:pt idx="4">
                  <c:v>1510</c:v>
                </c:pt>
                <c:pt idx="5">
                  <c:v>2985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0-426E-A79E-DCB1E3A5F0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77428864"/>
        <c:axId val="1429213600"/>
      </c:barChart>
      <c:catAx>
        <c:axId val="1277428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213600"/>
        <c:crosses val="autoZero"/>
        <c:auto val="1"/>
        <c:lblAlgn val="ctr"/>
        <c:lblOffset val="100"/>
        <c:noMultiLvlLbl val="0"/>
      </c:catAx>
      <c:valAx>
        <c:axId val="142921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42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Ethnic Group working in South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'South West'!$B$1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'South West'!$A$2:$A$7</c:f>
              <c:strCache>
                <c:ptCount val="6"/>
                <c:pt idx="0">
                  <c:v>Mixed</c:v>
                </c:pt>
                <c:pt idx="1">
                  <c:v>Other Ethnic Group</c:v>
                </c:pt>
                <c:pt idx="2">
                  <c:v>Black</c:v>
                </c:pt>
                <c:pt idx="3">
                  <c:v>Asian</c:v>
                </c:pt>
                <c:pt idx="4">
                  <c:v>Non recorded</c:v>
                </c:pt>
                <c:pt idx="5">
                  <c:v>White</c:v>
                </c:pt>
              </c:strCache>
            </c:strRef>
          </c:cat>
          <c:val>
            <c:numRef>
              <c:f>'South West'!$B$2:$B$7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120</c:v>
                </c:pt>
                <c:pt idx="3">
                  <c:v>300</c:v>
                </c:pt>
                <c:pt idx="4">
                  <c:v>875</c:v>
                </c:pt>
                <c:pt idx="5">
                  <c:v>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2-4439-BA8F-DE5EA1EA7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84961424"/>
        <c:axId val="1485821920"/>
      </c:barChart>
      <c:catAx>
        <c:axId val="148496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821920"/>
        <c:crosses val="autoZero"/>
        <c:auto val="1"/>
        <c:lblAlgn val="ctr"/>
        <c:lblOffset val="100"/>
        <c:noMultiLvlLbl val="0"/>
      </c:catAx>
      <c:valAx>
        <c:axId val="14858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96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Ethnic Group working in Unknown Areas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Unkown!$B$1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Unkown!$A$2:$A$7</c:f>
              <c:strCache>
                <c:ptCount val="6"/>
                <c:pt idx="0">
                  <c:v>Mixed</c:v>
                </c:pt>
                <c:pt idx="1">
                  <c:v>Other Ethnic Group</c:v>
                </c:pt>
                <c:pt idx="2">
                  <c:v>Non recorded</c:v>
                </c:pt>
                <c:pt idx="3">
                  <c:v>Black</c:v>
                </c:pt>
                <c:pt idx="4">
                  <c:v>Asian</c:v>
                </c:pt>
                <c:pt idx="5">
                  <c:v>White</c:v>
                </c:pt>
              </c:strCache>
            </c:strRef>
          </c:cat>
          <c:val>
            <c:numRef>
              <c:f>Unkown!$B$2:$B$7</c:f>
              <c:numCache>
                <c:formatCode>General</c:formatCode>
                <c:ptCount val="6"/>
                <c:pt idx="0">
                  <c:v>40</c:v>
                </c:pt>
                <c:pt idx="1">
                  <c:v>40</c:v>
                </c:pt>
                <c:pt idx="2">
                  <c:v>65</c:v>
                </c:pt>
                <c:pt idx="3">
                  <c:v>75</c:v>
                </c:pt>
                <c:pt idx="4">
                  <c:v>305</c:v>
                </c:pt>
                <c:pt idx="5">
                  <c:v>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9-4DFA-80F0-31A96A0FF3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12603472"/>
        <c:axId val="1411019568"/>
      </c:barChart>
      <c:catAx>
        <c:axId val="1412603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019568"/>
        <c:crosses val="autoZero"/>
        <c:auto val="1"/>
        <c:lblAlgn val="ctr"/>
        <c:lblOffset val="100"/>
        <c:noMultiLvlLbl val="0"/>
      </c:catAx>
      <c:valAx>
        <c:axId val="141101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60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Ethnic Group working in East of England</a:t>
            </a:r>
          </a:p>
        </c:rich>
      </c:tx>
      <c:layout>
        <c:manualLayout>
          <c:xMode val="edge"/>
          <c:yMode val="edge"/>
          <c:x val="0.2576874453193350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'East of England'!$B$1</c:f>
              <c:strCache>
                <c:ptCount val="1"/>
                <c:pt idx="0">
                  <c:v>Total Number of Staffs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'East of England'!$A$2:$A$7</c:f>
              <c:strCache>
                <c:ptCount val="6"/>
                <c:pt idx="0">
                  <c:v>Mixed</c:v>
                </c:pt>
                <c:pt idx="1">
                  <c:v>Other Ethnic Group</c:v>
                </c:pt>
                <c:pt idx="2">
                  <c:v>Black</c:v>
                </c:pt>
                <c:pt idx="3">
                  <c:v>Non recorded</c:v>
                </c:pt>
                <c:pt idx="4">
                  <c:v>Asian</c:v>
                </c:pt>
                <c:pt idx="5">
                  <c:v>White</c:v>
                </c:pt>
              </c:strCache>
            </c:strRef>
          </c:cat>
          <c:val>
            <c:numRef>
              <c:f>'East of England'!$B$2:$B$7</c:f>
              <c:numCache>
                <c:formatCode>General</c:formatCode>
                <c:ptCount val="6"/>
                <c:pt idx="0">
                  <c:v>125</c:v>
                </c:pt>
                <c:pt idx="1">
                  <c:v>225</c:v>
                </c:pt>
                <c:pt idx="2">
                  <c:v>385</c:v>
                </c:pt>
                <c:pt idx="3">
                  <c:v>775</c:v>
                </c:pt>
                <c:pt idx="4">
                  <c:v>1500</c:v>
                </c:pt>
                <c:pt idx="5">
                  <c:v>1965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3-41B6-B6C5-E073C1F989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20045296"/>
        <c:axId val="1431748816"/>
      </c:barChart>
      <c:catAx>
        <c:axId val="1420045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748816"/>
        <c:crosses val="autoZero"/>
        <c:auto val="1"/>
        <c:lblAlgn val="ctr"/>
        <c:lblOffset val="100"/>
        <c:noMultiLvlLbl val="0"/>
      </c:catAx>
      <c:valAx>
        <c:axId val="143174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04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</xdr:row>
      <xdr:rowOff>163830</xdr:rowOff>
    </xdr:from>
    <xdr:to>
      <xdr:col>14</xdr:col>
      <xdr:colOff>76200</xdr:colOff>
      <xdr:row>20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9F9DA0-480B-635E-B778-29F774D3A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1</xdr:row>
      <xdr:rowOff>41910</xdr:rowOff>
    </xdr:from>
    <xdr:to>
      <xdr:col>14</xdr:col>
      <xdr:colOff>167640</xdr:colOff>
      <xdr:row>18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51E5F7-FAD7-9A9B-3134-4A230B0F0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121920</xdr:colOff>
      <xdr:row>2</xdr:row>
      <xdr:rowOff>95250</xdr:rowOff>
    </xdr:from>
    <xdr:to>
      <xdr:col>13</xdr:col>
      <xdr:colOff>228600</xdr:colOff>
      <xdr:row>20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51F483-A632-4CC5-A6FF-B5592A69A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327660</xdr:colOff>
      <xdr:row>0</xdr:row>
      <xdr:rowOff>560070</xdr:rowOff>
    </xdr:from>
    <xdr:to>
      <xdr:col>12</xdr:col>
      <xdr:colOff>22860</xdr:colOff>
      <xdr:row>10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CF1232-C6E9-3492-52F1-EF3B951EC3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2</xdr:row>
      <xdr:rowOff>95250</xdr:rowOff>
    </xdr:from>
    <xdr:to>
      <xdr:col>13</xdr:col>
      <xdr:colOff>38100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A32919-6B36-0ED1-6B01-7633AC6EE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0</xdr:row>
      <xdr:rowOff>704850</xdr:rowOff>
    </xdr:from>
    <xdr:to>
      <xdr:col>12</xdr:col>
      <xdr:colOff>213360</xdr:colOff>
      <xdr:row>10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39F377-AEF4-E840-1A52-74AA75FE1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99060</xdr:colOff>
      <xdr:row>0</xdr:row>
      <xdr:rowOff>781050</xdr:rowOff>
    </xdr:from>
    <xdr:to>
      <xdr:col>12</xdr:col>
      <xdr:colOff>403860</xdr:colOff>
      <xdr:row>11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7FF8FF-BE91-FC18-65EB-BCE52EED3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</xdr:colOff>
      <xdr:row>3</xdr:row>
      <xdr:rowOff>179070</xdr:rowOff>
    </xdr:from>
    <xdr:to>
      <xdr:col>10</xdr:col>
      <xdr:colOff>449580</xdr:colOff>
      <xdr:row>18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718E94-7542-5B5E-BD00-5E4CFB729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BA040-0600-4CEB-852E-F4264866DFCE}">
  <sheetPr codeName="Sheet1"/>
  <dimension ref="A1:D10"/>
  <sheetViews>
    <sheetView tabSelected="1" workbookViewId="0">
      <selection activeCell="B30" sqref="B30"/>
    </sheetView>
  </sheetViews>
  <sheetFormatPr defaultRowHeight="14.4" x14ac:dyDescent="0.3"/>
  <cols>
    <col min="1" max="1" width="16.6640625" bestFit="1" customWidth="1"/>
    <col min="2" max="2" width="19.77734375" bestFit="1" customWidth="1"/>
    <col min="3" max="3" width="12.109375" bestFit="1" customWidth="1"/>
  </cols>
  <sheetData>
    <row r="1" spans="1:4" x14ac:dyDescent="0.3">
      <c r="A1" t="s">
        <v>0</v>
      </c>
      <c r="B1" t="s">
        <v>1</v>
      </c>
      <c r="C1" t="s">
        <v>2</v>
      </c>
    </row>
    <row r="2" spans="1:4" x14ac:dyDescent="0.3">
      <c r="A2" t="s">
        <v>6</v>
      </c>
      <c r="B2">
        <v>225</v>
      </c>
      <c r="C2" s="6">
        <f>B2/8909</f>
        <v>2.5255359748568865E-2</v>
      </c>
      <c r="D2" s="5"/>
    </row>
    <row r="3" spans="1:4" x14ac:dyDescent="0.3">
      <c r="A3" t="s">
        <v>7</v>
      </c>
      <c r="B3">
        <v>325</v>
      </c>
      <c r="C3" s="6">
        <f>B3/8909</f>
        <v>3.6479964081266136E-2</v>
      </c>
      <c r="D3" s="5"/>
    </row>
    <row r="4" spans="1:4" x14ac:dyDescent="0.3">
      <c r="A4" t="s">
        <v>5</v>
      </c>
      <c r="B4">
        <v>820</v>
      </c>
      <c r="C4" s="6">
        <f>B4/8909</f>
        <v>9.2041755528117636E-2</v>
      </c>
      <c r="D4" s="5"/>
    </row>
    <row r="5" spans="1:4" x14ac:dyDescent="0.3">
      <c r="A5" t="s">
        <v>8</v>
      </c>
      <c r="B5">
        <v>1110</v>
      </c>
      <c r="C5" s="6">
        <f>B5/8909</f>
        <v>0.12459310809293972</v>
      </c>
      <c r="D5" s="5"/>
    </row>
    <row r="6" spans="1:4" x14ac:dyDescent="0.3">
      <c r="A6" t="s">
        <v>4</v>
      </c>
      <c r="B6">
        <v>2960</v>
      </c>
      <c r="C6" s="6">
        <f>B6/8909</f>
        <v>0.33224828824783925</v>
      </c>
      <c r="D6" s="5"/>
    </row>
    <row r="7" spans="1:4" x14ac:dyDescent="0.3">
      <c r="A7" t="s">
        <v>3</v>
      </c>
      <c r="B7">
        <v>3555</v>
      </c>
      <c r="C7" s="6">
        <f>B7/8909</f>
        <v>0.39903468402738801</v>
      </c>
      <c r="D7" s="5"/>
    </row>
    <row r="10" spans="1:4" x14ac:dyDescent="0.3">
      <c r="C10" s="6"/>
    </row>
  </sheetData>
  <sortState xmlns:xlrd2="http://schemas.microsoft.com/office/spreadsheetml/2017/richdata2" ref="A2:C11">
    <sortCondition ref="B1:B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561B3-D726-4684-B44B-1505B15E0ACB}">
  <sheetPr codeName="Sheet2"/>
  <dimension ref="A1:C7"/>
  <sheetViews>
    <sheetView workbookViewId="0">
      <selection activeCell="C12" sqref="C12"/>
    </sheetView>
  </sheetViews>
  <sheetFormatPr defaultRowHeight="14.4" x14ac:dyDescent="0.3"/>
  <cols>
    <col min="1" max="1" width="16.6640625" bestFit="1" customWidth="1"/>
    <col min="2" max="2" width="19.77734375" bestFit="1" customWidth="1"/>
  </cols>
  <sheetData>
    <row r="1" spans="1:3" x14ac:dyDescent="0.3">
      <c r="A1" t="s">
        <v>0</v>
      </c>
      <c r="B1" t="s">
        <v>1</v>
      </c>
      <c r="C1" t="s">
        <v>9</v>
      </c>
    </row>
    <row r="2" spans="1:3" x14ac:dyDescent="0.3">
      <c r="A2" t="s">
        <v>6</v>
      </c>
      <c r="B2">
        <v>150</v>
      </c>
      <c r="C2" s="5">
        <f>B2/7130</f>
        <v>2.1037868162692847E-2</v>
      </c>
    </row>
    <row r="3" spans="1:3" x14ac:dyDescent="0.3">
      <c r="A3" t="s">
        <v>7</v>
      </c>
      <c r="B3">
        <v>215</v>
      </c>
      <c r="C3" s="5">
        <f t="shared" ref="C3:C7" si="0">B3/7130</f>
        <v>3.0154277699859747E-2</v>
      </c>
    </row>
    <row r="4" spans="1:3" x14ac:dyDescent="0.3">
      <c r="A4" t="s">
        <v>5</v>
      </c>
      <c r="B4">
        <v>520</v>
      </c>
      <c r="C4" s="5">
        <f t="shared" si="0"/>
        <v>7.2931276297335201E-2</v>
      </c>
    </row>
    <row r="5" spans="1:3" x14ac:dyDescent="0.3">
      <c r="A5" t="s">
        <v>8</v>
      </c>
      <c r="B5">
        <v>870</v>
      </c>
      <c r="C5" s="5">
        <f t="shared" si="0"/>
        <v>0.12201963534361851</v>
      </c>
    </row>
    <row r="6" spans="1:3" x14ac:dyDescent="0.3">
      <c r="A6" t="s">
        <v>4</v>
      </c>
      <c r="B6">
        <v>1450</v>
      </c>
      <c r="C6" s="5">
        <f t="shared" si="0"/>
        <v>0.20336605890603085</v>
      </c>
    </row>
    <row r="7" spans="1:3" x14ac:dyDescent="0.3">
      <c r="A7" t="s">
        <v>3</v>
      </c>
      <c r="B7">
        <v>3990</v>
      </c>
      <c r="C7" s="5">
        <f t="shared" si="0"/>
        <v>0.55960729312762969</v>
      </c>
    </row>
  </sheetData>
  <sortState xmlns:xlrd2="http://schemas.microsoft.com/office/spreadsheetml/2017/richdata2" ref="A2:B7">
    <sortCondition ref="B1:B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4E5E3-3C00-4E29-BA4B-9FBAA3B44827}">
  <sheetPr codeName="Sheet3"/>
  <dimension ref="A1:C7"/>
  <sheetViews>
    <sheetView workbookViewId="0">
      <selection activeCell="C12" sqref="C12"/>
    </sheetView>
  </sheetViews>
  <sheetFormatPr defaultRowHeight="14.4" x14ac:dyDescent="0.3"/>
  <cols>
    <col min="1" max="1" width="16.6640625" bestFit="1" customWidth="1"/>
    <col min="2" max="2" width="19.77734375" bestFit="1" customWidth="1"/>
  </cols>
  <sheetData>
    <row r="1" spans="1:3" x14ac:dyDescent="0.3">
      <c r="A1" t="s">
        <v>0</v>
      </c>
      <c r="B1" t="s">
        <v>1</v>
      </c>
      <c r="C1" t="s">
        <v>9</v>
      </c>
    </row>
    <row r="2" spans="1:3" x14ac:dyDescent="0.3">
      <c r="A2" t="s">
        <v>6</v>
      </c>
      <c r="B2">
        <v>220</v>
      </c>
      <c r="C2" s="5">
        <f>B2/7077</f>
        <v>3.1086618623710611E-2</v>
      </c>
    </row>
    <row r="3" spans="1:3" x14ac:dyDescent="0.3">
      <c r="A3" t="s">
        <v>5</v>
      </c>
      <c r="B3">
        <v>400</v>
      </c>
      <c r="C3" s="5">
        <f t="shared" ref="C3:C7" si="0">B3/7077</f>
        <v>5.652112477038293E-2</v>
      </c>
    </row>
    <row r="4" spans="1:3" x14ac:dyDescent="0.3">
      <c r="A4" t="s">
        <v>7</v>
      </c>
      <c r="B4">
        <v>415</v>
      </c>
      <c r="C4" s="5">
        <f t="shared" si="0"/>
        <v>5.8640666949272294E-2</v>
      </c>
    </row>
    <row r="5" spans="1:3" x14ac:dyDescent="0.3">
      <c r="A5" t="s">
        <v>8</v>
      </c>
      <c r="B5">
        <v>1100</v>
      </c>
      <c r="C5" s="5">
        <f t="shared" si="0"/>
        <v>0.15543309311855305</v>
      </c>
    </row>
    <row r="6" spans="1:3" x14ac:dyDescent="0.3">
      <c r="A6" t="s">
        <v>3</v>
      </c>
      <c r="B6">
        <v>2310</v>
      </c>
      <c r="C6" s="5">
        <f t="shared" si="0"/>
        <v>0.32640949554896143</v>
      </c>
    </row>
    <row r="7" spans="1:3" x14ac:dyDescent="0.3">
      <c r="A7" t="s">
        <v>4</v>
      </c>
      <c r="B7">
        <v>2735</v>
      </c>
      <c r="C7" s="5">
        <f t="shared" si="0"/>
        <v>0.38646319061749329</v>
      </c>
    </row>
  </sheetData>
  <sortState xmlns:xlrd2="http://schemas.microsoft.com/office/spreadsheetml/2017/richdata2" ref="A2:B21">
    <sortCondition ref="B1:B2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5B35D-BE52-468A-946F-8746FA0D83C3}">
  <dimension ref="A1:C7"/>
  <sheetViews>
    <sheetView workbookViewId="0">
      <selection activeCell="D12" sqref="D12"/>
    </sheetView>
  </sheetViews>
  <sheetFormatPr defaultRowHeight="14.4" x14ac:dyDescent="0.3"/>
  <cols>
    <col min="1" max="1" width="20.33203125" customWidth="1"/>
    <col min="2" max="2" width="17.88671875" customWidth="1"/>
  </cols>
  <sheetData>
    <row r="1" spans="1:3" ht="70.2" thickBot="1" x14ac:dyDescent="0.35">
      <c r="A1" s="1" t="s">
        <v>0</v>
      </c>
      <c r="B1" s="2" t="s">
        <v>1</v>
      </c>
      <c r="C1" t="s">
        <v>9</v>
      </c>
    </row>
    <row r="2" spans="1:3" ht="16.2" thickBot="1" x14ac:dyDescent="0.35">
      <c r="A2" s="3" t="s">
        <v>6</v>
      </c>
      <c r="B2" s="4">
        <v>145</v>
      </c>
      <c r="C2" s="5">
        <f>B2/6813</f>
        <v>2.1282841626302656E-2</v>
      </c>
    </row>
    <row r="3" spans="1:3" ht="16.2" thickBot="1" x14ac:dyDescent="0.35">
      <c r="A3" s="3" t="s">
        <v>7</v>
      </c>
      <c r="B3" s="4">
        <v>205</v>
      </c>
      <c r="C3" s="5">
        <f t="shared" ref="C3:C7" si="0">B3/6813</f>
        <v>3.0089534713048583E-2</v>
      </c>
    </row>
    <row r="4" spans="1:3" ht="16.2" thickBot="1" x14ac:dyDescent="0.35">
      <c r="A4" s="3" t="s">
        <v>5</v>
      </c>
      <c r="B4" s="4">
        <v>270</v>
      </c>
      <c r="C4" s="5">
        <f t="shared" si="0"/>
        <v>3.9630118890356669E-2</v>
      </c>
    </row>
    <row r="5" spans="1:3" ht="16.2" thickBot="1" x14ac:dyDescent="0.35">
      <c r="A5" s="3" t="s">
        <v>8</v>
      </c>
      <c r="B5" s="4">
        <v>1180</v>
      </c>
      <c r="C5" s="5">
        <f t="shared" si="0"/>
        <v>0.1731982973726699</v>
      </c>
    </row>
    <row r="6" spans="1:3" ht="47.4" thickBot="1" x14ac:dyDescent="0.35">
      <c r="A6" s="3" t="s">
        <v>4</v>
      </c>
      <c r="B6" s="4">
        <v>1345</v>
      </c>
      <c r="C6" s="5">
        <f t="shared" si="0"/>
        <v>0.19741670336122119</v>
      </c>
    </row>
    <row r="7" spans="1:3" ht="31.8" thickBot="1" x14ac:dyDescent="0.35">
      <c r="A7" s="3" t="s">
        <v>3</v>
      </c>
      <c r="B7" s="4">
        <v>3730</v>
      </c>
      <c r="C7" s="5">
        <f t="shared" si="0"/>
        <v>0.54748275355937182</v>
      </c>
    </row>
  </sheetData>
  <sortState xmlns:xlrd2="http://schemas.microsoft.com/office/spreadsheetml/2017/richdata2" ref="A2:B7">
    <sortCondition ref="B1:B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580E4-060A-44B0-B7C5-BBCB29D733F2}">
  <dimension ref="A1:C7"/>
  <sheetViews>
    <sheetView workbookViewId="0">
      <selection activeCell="D9" sqref="D9"/>
    </sheetView>
  </sheetViews>
  <sheetFormatPr defaultRowHeight="14.4" x14ac:dyDescent="0.3"/>
  <cols>
    <col min="1" max="1" width="16.6640625" bestFit="1" customWidth="1"/>
    <col min="2" max="2" width="19.77734375" bestFit="1" customWidth="1"/>
  </cols>
  <sheetData>
    <row r="1" spans="1:3" x14ac:dyDescent="0.3">
      <c r="A1" t="s">
        <v>0</v>
      </c>
      <c r="B1" t="s">
        <v>1</v>
      </c>
      <c r="C1" t="s">
        <v>9</v>
      </c>
    </row>
    <row r="2" spans="1:3" x14ac:dyDescent="0.3">
      <c r="A2" t="s">
        <v>6</v>
      </c>
      <c r="B2">
        <v>160</v>
      </c>
      <c r="C2" s="5">
        <f>B2/6032</f>
        <v>2.6525198938992044E-2</v>
      </c>
    </row>
    <row r="3" spans="1:3" x14ac:dyDescent="0.3">
      <c r="A3" t="s">
        <v>7</v>
      </c>
      <c r="B3">
        <v>280</v>
      </c>
      <c r="C3" s="5">
        <f t="shared" ref="C3:C7" si="0">B3/6032</f>
        <v>4.6419098143236075E-2</v>
      </c>
    </row>
    <row r="4" spans="1:3" x14ac:dyDescent="0.3">
      <c r="A4" t="s">
        <v>5</v>
      </c>
      <c r="B4">
        <v>335</v>
      </c>
      <c r="C4" s="5">
        <f t="shared" si="0"/>
        <v>5.5537135278514588E-2</v>
      </c>
    </row>
    <row r="5" spans="1:3" x14ac:dyDescent="0.3">
      <c r="A5" t="s">
        <v>8</v>
      </c>
      <c r="B5">
        <v>830</v>
      </c>
      <c r="C5" s="5">
        <f t="shared" si="0"/>
        <v>0.13759946949602123</v>
      </c>
    </row>
    <row r="6" spans="1:3" x14ac:dyDescent="0.3">
      <c r="A6" t="s">
        <v>4</v>
      </c>
      <c r="B6">
        <v>1510</v>
      </c>
      <c r="C6" s="5">
        <f t="shared" si="0"/>
        <v>0.25033156498673742</v>
      </c>
    </row>
    <row r="7" spans="1:3" x14ac:dyDescent="0.3">
      <c r="A7" t="s">
        <v>3</v>
      </c>
      <c r="B7">
        <v>2985</v>
      </c>
      <c r="C7" s="5">
        <f t="shared" si="0"/>
        <v>0.49486074270557029</v>
      </c>
    </row>
  </sheetData>
  <sortState xmlns:xlrd2="http://schemas.microsoft.com/office/spreadsheetml/2017/richdata2" ref="A2:B7">
    <sortCondition ref="B1:B7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C288-A518-4EFF-998C-60819AEED101}">
  <dimension ref="A1:C7"/>
  <sheetViews>
    <sheetView workbookViewId="0">
      <selection activeCell="D8" sqref="D8"/>
    </sheetView>
  </sheetViews>
  <sheetFormatPr defaultRowHeight="14.4" x14ac:dyDescent="0.3"/>
  <cols>
    <col min="2" max="2" width="7.88671875" bestFit="1" customWidth="1"/>
  </cols>
  <sheetData>
    <row r="1" spans="1:3" ht="70.2" thickBot="1" x14ac:dyDescent="0.35">
      <c r="A1" s="1" t="s">
        <v>0</v>
      </c>
      <c r="B1" s="2" t="s">
        <v>1</v>
      </c>
      <c r="C1" t="s">
        <v>9</v>
      </c>
    </row>
    <row r="2" spans="1:3" ht="16.2" thickBot="1" x14ac:dyDescent="0.35">
      <c r="A2" s="3" t="s">
        <v>6</v>
      </c>
      <c r="B2" s="4">
        <v>70</v>
      </c>
      <c r="C2" s="5">
        <f>B2/5144</f>
        <v>1.3608087091757388E-2</v>
      </c>
    </row>
    <row r="3" spans="1:3" ht="16.2" thickBot="1" x14ac:dyDescent="0.35">
      <c r="A3" s="3" t="s">
        <v>7</v>
      </c>
      <c r="B3" s="4">
        <v>70</v>
      </c>
      <c r="C3" s="5">
        <f t="shared" ref="C3:C7" si="0">B3/5144</f>
        <v>1.3608087091757388E-2</v>
      </c>
    </row>
    <row r="4" spans="1:3" ht="16.2" thickBot="1" x14ac:dyDescent="0.35">
      <c r="A4" s="3" t="s">
        <v>5</v>
      </c>
      <c r="B4" s="4">
        <v>120</v>
      </c>
      <c r="C4" s="5">
        <f t="shared" si="0"/>
        <v>2.3328149300155521E-2</v>
      </c>
    </row>
    <row r="5" spans="1:3" ht="16.2" thickBot="1" x14ac:dyDescent="0.35">
      <c r="A5" s="3" t="s">
        <v>4</v>
      </c>
      <c r="B5" s="4">
        <v>300</v>
      </c>
      <c r="C5" s="5">
        <f t="shared" si="0"/>
        <v>5.8320373250388802E-2</v>
      </c>
    </row>
    <row r="6" spans="1:3" ht="47.4" thickBot="1" x14ac:dyDescent="0.35">
      <c r="A6" s="3" t="s">
        <v>8</v>
      </c>
      <c r="B6" s="4">
        <v>875</v>
      </c>
      <c r="C6" s="5">
        <f t="shared" si="0"/>
        <v>0.17010108864696735</v>
      </c>
    </row>
    <row r="7" spans="1:3" ht="31.8" thickBot="1" x14ac:dyDescent="0.35">
      <c r="A7" s="3" t="s">
        <v>3</v>
      </c>
      <c r="B7" s="4">
        <v>3755</v>
      </c>
      <c r="C7" s="5">
        <f t="shared" si="0"/>
        <v>0.72997667185069981</v>
      </c>
    </row>
  </sheetData>
  <sortState xmlns:xlrd2="http://schemas.microsoft.com/office/spreadsheetml/2017/richdata2" ref="A2:B7">
    <sortCondition ref="B1:B7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4D4E-868C-457D-AB75-1E725A782D91}">
  <dimension ref="A1:C7"/>
  <sheetViews>
    <sheetView workbookViewId="0">
      <selection activeCell="D11" sqref="D11"/>
    </sheetView>
  </sheetViews>
  <sheetFormatPr defaultRowHeight="14.4" x14ac:dyDescent="0.3"/>
  <cols>
    <col min="2" max="2" width="7.88671875" bestFit="1" customWidth="1"/>
  </cols>
  <sheetData>
    <row r="1" spans="1:3" ht="70.2" thickBot="1" x14ac:dyDescent="0.35">
      <c r="A1" s="1" t="s">
        <v>0</v>
      </c>
      <c r="B1" s="2" t="s">
        <v>1</v>
      </c>
      <c r="C1" t="s">
        <v>9</v>
      </c>
    </row>
    <row r="2" spans="1:3" ht="16.2" thickBot="1" x14ac:dyDescent="0.35">
      <c r="A2" s="3" t="s">
        <v>6</v>
      </c>
      <c r="B2" s="4">
        <v>40</v>
      </c>
      <c r="C2" s="5">
        <f>B2/949</f>
        <v>4.214963119072708E-2</v>
      </c>
    </row>
    <row r="3" spans="1:3" ht="16.2" thickBot="1" x14ac:dyDescent="0.35">
      <c r="A3" s="3" t="s">
        <v>7</v>
      </c>
      <c r="B3" s="4">
        <v>40</v>
      </c>
      <c r="C3" s="5">
        <f t="shared" ref="C3:C7" si="0">B3/949</f>
        <v>4.214963119072708E-2</v>
      </c>
    </row>
    <row r="4" spans="1:3" ht="16.2" thickBot="1" x14ac:dyDescent="0.35">
      <c r="A4" s="3" t="s">
        <v>8</v>
      </c>
      <c r="B4" s="4">
        <v>65</v>
      </c>
      <c r="C4" s="5">
        <f t="shared" si="0"/>
        <v>6.8493150684931503E-2</v>
      </c>
    </row>
    <row r="5" spans="1:3" ht="16.2" thickBot="1" x14ac:dyDescent="0.35">
      <c r="A5" s="3" t="s">
        <v>5</v>
      </c>
      <c r="B5" s="4">
        <v>75</v>
      </c>
      <c r="C5" s="5">
        <f t="shared" si="0"/>
        <v>7.9030558482613283E-2</v>
      </c>
    </row>
    <row r="6" spans="1:3" ht="47.4" thickBot="1" x14ac:dyDescent="0.35">
      <c r="A6" s="3" t="s">
        <v>4</v>
      </c>
      <c r="B6" s="4">
        <v>305</v>
      </c>
      <c r="C6" s="5">
        <f t="shared" si="0"/>
        <v>0.32139093782929401</v>
      </c>
    </row>
    <row r="7" spans="1:3" ht="31.8" thickBot="1" x14ac:dyDescent="0.35">
      <c r="A7" s="3" t="s">
        <v>3</v>
      </c>
      <c r="B7" s="4">
        <v>420</v>
      </c>
      <c r="C7" s="5">
        <f t="shared" si="0"/>
        <v>0.44257112750263433</v>
      </c>
    </row>
  </sheetData>
  <sortState xmlns:xlrd2="http://schemas.microsoft.com/office/spreadsheetml/2017/richdata2" ref="A2:B7">
    <sortCondition ref="B1:B7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252F-A2EB-4FDF-B3C8-CD1D40862636}">
  <dimension ref="A1:C7"/>
  <sheetViews>
    <sheetView workbookViewId="0">
      <selection activeCell="B13" sqref="B13"/>
    </sheetView>
  </sheetViews>
  <sheetFormatPr defaultRowHeight="14.4" x14ac:dyDescent="0.3"/>
  <cols>
    <col min="1" max="1" width="16.6640625" bestFit="1" customWidth="1"/>
    <col min="2" max="2" width="19.77734375" bestFit="1" customWidth="1"/>
  </cols>
  <sheetData>
    <row r="1" spans="1:3" x14ac:dyDescent="0.3">
      <c r="A1" t="s">
        <v>0</v>
      </c>
      <c r="B1" t="s">
        <v>1</v>
      </c>
      <c r="C1" t="s">
        <v>9</v>
      </c>
    </row>
    <row r="2" spans="1:3" x14ac:dyDescent="0.3">
      <c r="A2" t="s">
        <v>6</v>
      </c>
      <c r="B2">
        <v>125</v>
      </c>
      <c r="C2" s="5">
        <f>B2/4929</f>
        <v>2.5360113613308987E-2</v>
      </c>
    </row>
    <row r="3" spans="1:3" x14ac:dyDescent="0.3">
      <c r="A3" t="s">
        <v>7</v>
      </c>
      <c r="B3">
        <v>225</v>
      </c>
      <c r="C3" s="5">
        <f t="shared" ref="C3:C7" si="0">B3/4929</f>
        <v>4.564820450395618E-2</v>
      </c>
    </row>
    <row r="4" spans="1:3" x14ac:dyDescent="0.3">
      <c r="A4" t="s">
        <v>5</v>
      </c>
      <c r="B4">
        <v>385</v>
      </c>
      <c r="C4" s="5">
        <f t="shared" si="0"/>
        <v>7.8109149928991678E-2</v>
      </c>
    </row>
    <row r="5" spans="1:3" x14ac:dyDescent="0.3">
      <c r="A5" t="s">
        <v>8</v>
      </c>
      <c r="B5">
        <v>775</v>
      </c>
      <c r="C5" s="5">
        <f t="shared" si="0"/>
        <v>0.15723270440251572</v>
      </c>
    </row>
    <row r="6" spans="1:3" x14ac:dyDescent="0.3">
      <c r="A6" t="s">
        <v>4</v>
      </c>
      <c r="B6">
        <v>1500</v>
      </c>
      <c r="C6" s="5">
        <f t="shared" si="0"/>
        <v>0.30432136335970783</v>
      </c>
    </row>
    <row r="7" spans="1:3" x14ac:dyDescent="0.3">
      <c r="A7" t="s">
        <v>3</v>
      </c>
      <c r="B7">
        <v>1965</v>
      </c>
      <c r="C7" s="5">
        <f t="shared" si="0"/>
        <v>0.3986609860012173</v>
      </c>
    </row>
  </sheetData>
  <sortState xmlns:xlrd2="http://schemas.microsoft.com/office/spreadsheetml/2017/richdata2" ref="A2:B7">
    <sortCondition ref="B1:B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Midlands</vt:lpstr>
      <vt:lpstr>North East and Yorkshire</vt:lpstr>
      <vt:lpstr>London</vt:lpstr>
      <vt:lpstr>South East</vt:lpstr>
      <vt:lpstr>North West</vt:lpstr>
      <vt:lpstr>South West</vt:lpstr>
      <vt:lpstr>Unkown</vt:lpstr>
      <vt:lpstr>East of England</vt:lpstr>
    </vt:vector>
  </TitlesOfParts>
  <Company>Hilton Worldwide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LINFORD DSOUZA</dc:creator>
  <cp:lastModifiedBy>saroj rimal</cp:lastModifiedBy>
  <dcterms:created xsi:type="dcterms:W3CDTF">2024-02-22T03:14:04Z</dcterms:created>
  <dcterms:modified xsi:type="dcterms:W3CDTF">2024-02-26T16:00:24Z</dcterms:modified>
</cp:coreProperties>
</file>